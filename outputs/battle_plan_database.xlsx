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st Winners &amp; Patterns" sheetId="1" state="visible" r:id="rId3"/>
    <sheet name="API Capabilities" sheetId="2" state="visible" r:id="rId4"/>
    <sheet name="Build Scorecard" sheetId="3" state="visible" r:id="rId5"/>
    <sheet name="Credit Budget" sheetId="4" state="visible" r:id="rId6"/>
    <sheet name="7-Day Plan" sheetId="5" state="visible" r:id="rId7"/>
    <sheet name="Risk Register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<sst xmlns="http://schemas.openxmlformats.org/spreadsheetml/2006/main" count="291" uniqueCount="254">
  <si>
    <t xml:space="preserve">Event</t>
  </si>
  <si>
    <t xml:space="preserve">Year</t>
  </si>
  <si>
    <t xml:space="preserve">Project / Winner</t>
  </si>
  <si>
    <t xml:space="preserve">Builders</t>
  </si>
  <si>
    <t xml:space="preserve">What it did</t>
  </si>
  <si>
    <t xml:space="preserve">Tech Stack Notes</t>
  </si>
  <si>
    <t xml:space="preserve">Why it won (pattern)</t>
  </si>
  <si>
    <t xml:space="preserve">Source</t>
  </si>
  <si>
    <t xml:space="preserve">Runway Characters Hackathon</t>
  </si>
  <si>
    <t xml:space="preserve">2026</t>
  </si>
  <si>
    <t xml:space="preserve">Various (Yining Shi-led)</t>
  </si>
  <si>
    <t xml:space="preserve">In-person, NYC</t>
  </si>
  <si>
    <t xml:space="preserve">Real-time interactive video agents on Characters (GWM-1) — first developer event for the new model.</t>
  </si>
  <si>
    <t xml:space="preserve">Characters API + custom audio drivers</t>
  </si>
  <si>
    <t xml:space="preserve">Novelty alignment: judges led by Yining Shi rewarded teams that pushed Characters past demo-stage.</t>
  </si>
  <si>
    <t xml:space="preserve">https://x.com/runwayml/status/2040114843215188127</t>
  </si>
  <si>
    <t xml:space="preserve">Runway Gen:48</t>
  </si>
  <si>
    <t xml:space="preserve">2025</t>
  </si>
  <si>
    <t xml:space="preserve">Multiple finalists; Gen:48 is a 48-hour AI-film comp</t>
  </si>
  <si>
    <t xml:space="preserve">Indie filmmaker teams worldwide</t>
  </si>
  <si>
    <t xml:space="preserve">48-hour AI-generated short films on a theme prompt.</t>
  </si>
  <si>
    <t xml:space="preserve">Mostly Gen-3 / Gen-4 + audio editors</t>
  </si>
  <si>
    <t xml:space="preserve">Storytelling craft + cinematic visual quality — narrative coherence beats novelty.</t>
  </si>
  <si>
    <t xml:space="preserve">https://runwayml.com/gen48/terms</t>
  </si>
  <si>
    <t xml:space="preserve">AIFF (AI Film Festival)</t>
  </si>
  <si>
    <t xml:space="preserve">2024-2025</t>
  </si>
  <si>
    <t xml:space="preserve">Curated selections, jury-judged</t>
  </si>
  <si>
    <t xml:space="preserve">Filmmaker teams; jury includes industry pros</t>
  </si>
  <si>
    <t xml:space="preserve">Annual AI-film festival with feature screenings, jury-selected winners.</t>
  </si>
  <si>
    <t xml:space="preserve">Multi-tool AI workflows; not API-focused</t>
  </si>
  <si>
    <t xml:space="preserve">Aesthetic + emotional resonance + technical ambition. Different rubric from this hackathon.</t>
  </si>
  <si>
    <t xml:space="preserve">https://aiff.runwayml.com/</t>
  </si>
  <si>
    <t xml:space="preserve">Runway API Hackathon</t>
  </si>
  <si>
    <t xml:space="preserve">May 2026</t>
  </si>
  <si>
    <t xml:space="preserve">TBD — this is the event we're entering</t>
  </si>
  <si>
    <t xml:space="preserve">Open registration, virtual</t>
  </si>
  <si>
    <t xml:space="preserve">Three-day virtual hackathon for agents/apps/tools/workflows on Runway API.</t>
  </si>
  <si>
    <t xml:space="preserve">Runway API + Modal + LLM + audio</t>
  </si>
  <si>
    <t xml:space="preserve">(Predicted) Practical problem-solving + sophisticated API integration + polish.</t>
  </si>
  <si>
    <t xml:space="preserve">https://runwayml.com/api-hackathon</t>
  </si>
  <si>
    <t xml:space="preserve">Microsoft AI Agents Hackathon</t>
  </si>
  <si>
    <t xml:space="preserve">RiskWise ($20K)</t>
  </si>
  <si>
    <t xml:space="preserve">Solo/small team</t>
  </si>
  <si>
    <t xml:space="preserve">Supply-chain risk analysis agent with multi-turn reasoning over structured data.</t>
  </si>
  <si>
    <t xml:space="preserve">Azure AI + structured retrieval</t>
  </si>
  <si>
    <t xml:space="preserve">Vertical specificity (supply chain) + grounded data + practical ROI beat horizontal demos.</t>
  </si>
  <si>
    <t xml:space="preserve">https://microsoft.github.io/AI_Agents_Hackathon/winners/</t>
  </si>
  <si>
    <t xml:space="preserve">Apollo Deep Research Meta-Agent</t>
  </si>
  <si>
    <t xml:space="preserve">Small team</t>
  </si>
  <si>
    <t xml:space="preserve">Multi-turn reasoning agent over research datasets.</t>
  </si>
  <si>
    <t xml:space="preserve">LLM + retrieval</t>
  </si>
  <si>
    <t xml:space="preserve">Multi-turn reasoning over single-call usage; production-feeling output.</t>
  </si>
  <si>
    <t xml:space="preserve">Tariffed</t>
  </si>
  <si>
    <t xml:space="preserve">Tariff-management agent for customs workflows.</t>
  </si>
  <si>
    <t xml:space="preserve">Agent + structured APIs</t>
  </si>
  <si>
    <t xml:space="preserve">Vertical specificity in a B2B niche.</t>
  </si>
  <si>
    <t xml:space="preserve">HuggingFace Agents-MCP Hackathon</t>
  </si>
  <si>
    <t xml:space="preserve">Immersia (formerly LLMGameHub)</t>
  </si>
  <si>
    <t xml:space="preserve">Generative narrative agent: world + genre + character → AI-generated story with image + audio.</t>
  </si>
  <si>
    <t xml:space="preserve">MCP + generative image + adaptive audio</t>
  </si>
  <si>
    <t xml:space="preserve">Combined narrative agents + generative media + adaptive audio = compelling demo.</t>
  </si>
  <si>
    <t xml:space="preserve">https://huggingface.co/blog/kikikita/immersia-ai-games</t>
  </si>
  <si>
    <t xml:space="preserve">OpenAI Open Model Hackathon</t>
  </si>
  <si>
    <t xml:space="preserve">Feb 2026</t>
  </si>
  <si>
    <t xml:space="preserve">Rippletide</t>
  </si>
  <si>
    <t xml:space="preserve">Multi-agent system for autonomous, continuous scientific discovery.</t>
  </si>
  <si>
    <t xml:space="preserve">Multi-agent loop + LLMs</t>
  </si>
  <si>
    <t xml:space="preserve">Systems that run autonomously between cycles beat one-shot tools.</t>
  </si>
  <si>
    <t xml:space="preserve">https://openai.com/blog/</t>
  </si>
  <si>
    <t xml:space="preserve">Vercel Gen CX Hackathon</t>
  </si>
  <si>
    <t xml:space="preserve">Gen CX winners (brand-content focus)</t>
  </si>
  <si>
    <t xml:space="preserve">Small teams</t>
  </si>
  <si>
    <t xml:space="preserve">Brand-content generation agents with rapid Vercel deployment.</t>
  </si>
  <si>
    <t xml:space="preserve">Vercel AI Gateway + v0 + partner LLMs</t>
  </si>
  <si>
    <t xml:space="preserve">Creator/marketing focus + integrated stack + one-click deploy.</t>
  </si>
  <si>
    <t xml:space="preserve">https://vercel.com/blog/</t>
  </si>
  <si>
    <t xml:space="preserve">Modal Hackathons (cumulative)</t>
  </si>
  <si>
    <t xml:space="preserve">2024-2026</t>
  </si>
  <si>
    <t xml:space="preserve">Various winners</t>
  </si>
  <si>
    <t xml:space="preserve">Various — typically GPU-heavy serverless inference apps.</t>
  </si>
  <si>
    <t xml:space="preserve">Modal serverless + GPUs + custom models</t>
  </si>
  <si>
    <t xml:space="preserve">Demonstrated infrastructure maturity + working production deploy.</t>
  </si>
  <si>
    <t xml:space="preserve">https://modal.com/blog</t>
  </si>
  <si>
    <t xml:space="preserve">Surface</t>
  </si>
  <si>
    <t xml:space="preserve">Released</t>
  </si>
  <si>
    <t xml:space="preserve">Cost (credits)</t>
  </si>
  <si>
    <t xml:space="preserve">Latency</t>
  </si>
  <si>
    <t xml:space="preserve">Best For</t>
  </si>
  <si>
    <t xml:space="preserve">Hackathon Novelty Weight</t>
  </si>
  <si>
    <t xml:space="preserve">DirectorOS Use</t>
  </si>
  <si>
    <t xml:space="preserve">Gen-4.5 (text/image-to-video)</t>
  </si>
  <si>
    <t xml:space="preserve">Feb 10, 2026</t>
  </si>
  <si>
    <t xml:space="preserve">12/sec (60–120 per clip)</t>
  </si>
  <si>
    <t xml:space="preserve">30–60 sec</t>
  </si>
  <si>
    <t xml:space="preserve">B-roll, scene generation, native audio</t>
  </si>
  <si>
    <t xml:space="preserve">MEDIUM (proven, stable)</t>
  </si>
  <si>
    <t xml:space="preserve">Primary B-roll engine</t>
  </si>
  <si>
    <t xml:space="preserve">Characters / GWM-1 (real-time avatar)</t>
  </si>
  <si>
    <t xml:space="preserve">Mar 9, 2026</t>
  </si>
  <si>
    <t xml:space="preserve">Not separately disclosed</t>
  </si>
  <si>
    <t xml:space="preserve">Real-time (&lt;500ms target)</t>
  </si>
  <si>
    <t xml:space="preserve">Interactive avatars, narrator, conversational agents</t>
  </si>
  <si>
    <t xml:space="preserve">HIGHEST (newest)</t>
  </si>
  <si>
    <t xml:space="preserve">Narrator avatar; live-feeling preview</t>
  </si>
  <si>
    <t xml:space="preserve">Act-Two (performance capture)</t>
  </si>
  <si>
    <t xml:space="preserve">~Feb 2026</t>
  </si>
  <si>
    <t xml:space="preserve">Seconds</t>
  </si>
  <si>
    <t xml:space="preserve">Motion-cap from webcam → animated character</t>
  </si>
  <si>
    <t xml:space="preserve">HIGH (unique via API)</t>
  </si>
  <si>
    <t xml:space="preserve">Optional: creator-recorded performance shots</t>
  </si>
  <si>
    <t xml:space="preserve">Aleph (in-context cinematic editing)</t>
  </si>
  <si>
    <t xml:space="preserve">~12/sec est.</t>
  </si>
  <si>
    <t xml:space="preserve">60–120 sec</t>
  </si>
  <si>
    <t xml:space="preserve">Edit, relight, style match, scene regen</t>
  </si>
  <si>
    <t xml:space="preserve">MEDIUM</t>
  </si>
  <si>
    <t xml:space="preserve">Color/style consistency pass</t>
  </si>
  <si>
    <t xml:space="preserve">gen4_image</t>
  </si>
  <si>
    <t xml:space="preserve">5/image</t>
  </si>
  <si>
    <t xml:space="preserve">Reference frames, concept art, style anchors</t>
  </si>
  <si>
    <t xml:space="preserve">Character / style reference frames</t>
  </si>
  <si>
    <t xml:space="preserve">ElevenLabs TTS via Runway</t>
  </si>
  <si>
    <t xml:space="preserve">Sep 25, 2025</t>
  </si>
  <si>
    <t xml:space="preserve">~0.5/100 chars est.</t>
  </si>
  <si>
    <t xml:space="preserve">29-language VO, dubbing</t>
  </si>
  <si>
    <t xml:space="preserve">Multilingual VO</t>
  </si>
  <si>
    <t xml:space="preserve">ElevenLabs Dubbing via Runway</t>
  </si>
  <si>
    <t xml:space="preserve">Bundled</t>
  </si>
  <si>
    <t xml:space="preserve">Translate video while preserving voice</t>
  </si>
  <si>
    <t xml:space="preserve">Per-platform/language outputs</t>
  </si>
  <si>
    <t xml:space="preserve">Custom Voice Training</t>
  </si>
  <si>
    <t xml:space="preserve">300/voice (one-time)</t>
  </si>
  <si>
    <t xml:space="preserve">Minutes</t>
  </si>
  <si>
    <t xml:space="preserve">Brand voices, creator clones</t>
  </si>
  <si>
    <t xml:space="preserve">LOW (table-stakes)</t>
  </si>
  <si>
    <t xml:space="preserve">Optional founder voice</t>
  </si>
  <si>
    <t xml:space="preserve">Webhooks (Svix)</t>
  </si>
  <si>
    <t xml:space="preserve">—</t>
  </si>
  <si>
    <t xml:space="preserve">Free</t>
  </si>
  <si>
    <t xml:space="preserve">Real-time event push</t>
  </si>
  <si>
    <t xml:space="preserve">Async pipelines without polling</t>
  </si>
  <si>
    <t xml:space="preserve">LOW</t>
  </si>
  <si>
    <t xml:space="preserve">Pipeline plumbing</t>
  </si>
  <si>
    <t xml:space="preserve">Runway Skills framework</t>
  </si>
  <si>
    <t xml:space="preserve">Mar 2026</t>
  </si>
  <si>
    <t xml:space="preserve">Free (open source)</t>
  </si>
  <si>
    <t xml:space="preserve">Agent-callable skills</t>
  </si>
  <si>
    <t xml:space="preserve">MEDIUM (judge bait)</t>
  </si>
  <si>
    <t xml:space="preserve">Three custom skills shipped to GitHub</t>
  </si>
  <si>
    <t xml:space="preserve">Modal serverless (A100 40GB)</t>
  </si>
  <si>
    <t xml:space="preserve">$2.10/hr base</t>
  </si>
  <si>
    <t xml:space="preserve">ffmpeg, post-processing, orchestration</t>
  </si>
  <si>
    <t xml:space="preserve">Pipeline runtime</t>
  </si>
  <si>
    <t xml:space="preserve">Candidate</t>
  </si>
  <si>
    <t xml:space="preserve">Creativity (1-5)</t>
  </si>
  <si>
    <t xml:space="preserve">Technical Depth (1-5)</t>
  </si>
  <si>
    <t xml:space="preserve">Impact (1-5)</t>
  </si>
  <si>
    <t xml:space="preserve">Polish-feasibility in 72h (1-5)</t>
  </si>
  <si>
    <t xml:space="preserve">Total (auto)</t>
  </si>
  <si>
    <t xml:space="preserve">NumberOneSon Fit (1-5)</t>
  </si>
  <si>
    <t xml:space="preserve">Combined (auto)</t>
  </si>
  <si>
    <t xml:space="preserve">Notes</t>
  </si>
  <si>
    <t xml:space="preserve">DirectorOS (recommended)</t>
  </si>
  <si>
    <t xml:space="preserve">Anchor product line; solopreneur creator stack play; productizable in 30 days post-event.</t>
  </si>
  <si>
    <t xml:space="preserve">InteractiveFlow (live narrative voting)</t>
  </si>
  <si>
    <t xml:space="preserve">Twitch-creator niche; real-time risk; novel interaction model wows judges.</t>
  </si>
  <si>
    <t xml:space="preserve">PerformanceAI (Act-Two performance)</t>
  </si>
  <si>
    <t xml:space="preserve">Heavy Act-Two use; novel; demo-worthy; smaller market.</t>
  </si>
  <si>
    <t xml:space="preserve">NewsFlow (live data → video)</t>
  </si>
  <si>
    <t xml:space="preserve">Strong vertical (news/finance) but B2B sales cycle is longer than NOS solo thesis prefers.</t>
  </si>
  <si>
    <t xml:space="preserve">EditBot (agentic post-production)</t>
  </si>
  <si>
    <t xml:space="preserve">Pro market; high technical complexity; harder to demo end-to-end in 72h.</t>
  </si>
  <si>
    <t xml:space="preserve">Bucket</t>
  </si>
  <si>
    <t xml:space="preserve">Allocation (credits)</t>
  </si>
  <si>
    <t xml:space="preserve">% of total</t>
  </si>
  <si>
    <t xml:space="preserve">Retail $</t>
  </si>
  <si>
    <t xml:space="preserve">Pre-hack dev (May 6-7)</t>
  </si>
  <si>
    <t xml:space="preserve">Use 20K of the 50K participant credits before Friday kickoff for Runway API spikes.</t>
  </si>
  <si>
    <t xml:space="preserve">Hackathon build (Fri-Sun)</t>
  </si>
  <si>
    <t xml:space="preserve">Gen-4.5 main pipeline + Characters tests + Act-Two trials + Aleph passes.</t>
  </si>
  <si>
    <t xml:space="preserve">Demo recording (Sun)</t>
  </si>
  <si>
    <t xml:space="preserve">Generate canonical demo at full quality + 4K upscale + multilingual VO.</t>
  </si>
  <si>
    <t xml:space="preserve">Edge-case battery (Sun)</t>
  </si>
  <si>
    <t xml:space="preserve">Blank input, 10K-char input, special chars, non-English, very long, broken refs.</t>
  </si>
  <si>
    <t xml:space="preserve">Reserve / surprise</t>
  </si>
  <si>
    <t xml:space="preserve">Day-of-Friday endpoint announcements, judging-day backup runs.</t>
  </si>
  <si>
    <t xml:space="preserve">TOTAL</t>
  </si>
  <si>
    <t xml:space="preserve">Cap; track real-time in Supabase counter.</t>
  </si>
  <si>
    <t xml:space="preserve">Date</t>
  </si>
  <si>
    <t xml:space="preserve">Day</t>
  </si>
  <si>
    <t xml:space="preserve">Theme</t>
  </si>
  <si>
    <t xml:space="preserve">Outputs by EOD</t>
  </si>
  <si>
    <t xml:space="preserve">Owner</t>
  </si>
  <si>
    <t xml:space="preserve">Status</t>
  </si>
  <si>
    <t xml:space="preserve">2026-05-05</t>
  </si>
  <si>
    <t xml:space="preserve">Tue T-3</t>
  </si>
  <si>
    <t xml:space="preserve">Decide &amp; confirm (research-only)</t>
  </si>
  <si>
    <t xml:space="preserve">Roger picks build. Runway dev account confirmed (roger@grubb.net validated). Discord joined. GitHub org created (empty). NO code written.</t>
  </si>
  <si>
    <t xml:space="preserve">Roger + Claude</t>
  </si>
  <si>
    <t xml:space="preserve">in progress</t>
  </si>
  <si>
    <t xml:space="preserve">2026-05-06</t>
  </si>
  <si>
    <t xml:space="preserve">Wed T-2</t>
  </si>
  <si>
    <t xml:space="preserve">Research + interviews (no code)</t>
  </si>
  <si>
    <t xml:space="preserve">Read full Runway docs + Skills repo + Modal docs. 5 user interviews. Architecture diagram. README outline. Brand decision.</t>
  </si>
  <si>
    <t xml:space="preserve">Claude</t>
  </si>
  <si>
    <t xml:space="preserve">pending</t>
  </si>
  <si>
    <t xml:space="preserve">2026-05-07</t>
  </si>
  <si>
    <t xml:space="preserve">Thu T-1</t>
  </si>
  <si>
    <t xml:space="preserve">Env setup + spec freeze</t>
  </si>
  <si>
    <t xml:space="preserve">Registration deadline 5pm ET — confirm enrolled. Install SDKs locally. Modal account ready. Slack workspace prepared. PRD frozen. NO API calls. NO submission code.</t>
  </si>
  <si>
    <t xml:space="preserve">2026-05-08</t>
  </si>
  <si>
    <t xml:space="preserve">Fri Day 1</t>
  </si>
  <si>
    <t xml:space="preserve">Hackathon Day 1</t>
  </si>
  <si>
    <t xml:space="preserve">Watch 9am ET kickoff + 10am ET walkthrough. Add Characters + Act-Two integrations. Multi-shot orchestration online. First full pipeline test by 5pm ET.</t>
  </si>
  <si>
    <t xml:space="preserve">Claude + Roger</t>
  </si>
  <si>
    <t xml:space="preserve">2026-05-09</t>
  </si>
  <si>
    <t xml:space="preserve">Sat Day 2</t>
  </si>
  <si>
    <t xml:space="preserve">Fill-in + judge loop</t>
  </si>
  <si>
    <t xml:space="preserve">LLM-as-judge regen loop. Aleph color pass. Multilingual VO. Per-platform crops.</t>
  </si>
  <si>
    <t xml:space="preserve">2026-05-10</t>
  </si>
  <si>
    <t xml:space="preserve">Sun Day 3</t>
  </si>
  <si>
    <t xml:space="preserve">Polish + demo</t>
  </si>
  <si>
    <t xml:space="preserve">25-case edge battery. Record canonical 3-min demo video. README v2. Public deploy.</t>
  </si>
  <si>
    <t xml:space="preserve">2026-05-11</t>
  </si>
  <si>
    <t xml:space="preserve">Mon Submit</t>
  </si>
  <si>
    <t xml:space="preserve">Submit by 9am ET</t>
  </si>
  <si>
    <t xml:space="preserve">Final smoke test. Submit. Cross-post on X tagging @runwayml @c_valenzuelab @yining_shi. DM Yining with clip.</t>
  </si>
  <si>
    <t xml:space="preserve">Roger</t>
  </si>
  <si>
    <t xml:space="preserve">Risk</t>
  </si>
  <si>
    <t xml:space="preserve">Severity</t>
  </si>
  <si>
    <t xml:space="preserve">Probability</t>
  </si>
  <si>
    <t xml:space="preserve">Score (auto)</t>
  </si>
  <si>
    <t xml:space="preserve">Mitigation</t>
  </si>
  <si>
    <t xml:space="preserve">Originality clause (Section 7.3.1) — pre-built code disqualifies submission.</t>
  </si>
  <si>
    <t xml:space="preserve">HARD RULE on Wed/Thu prep: NO submission code, NO submission API calls. Allowable prep: docs, interviews, architecture, env setup, README outline, brand. Any code or API output that ends up in the submission must be created May 8-11.</t>
  </si>
  <si>
    <t xml:space="preserve">Roger's email is not the Runway API account email; registration silently rejects.</t>
  </si>
  <si>
    <t xml:space="preserve">VERIFY TODAY: log in at dev.runwayml.com with roger@grubb.net. If not, sign up immediately and re-submit registration.</t>
  </si>
  <si>
    <t xml:space="preserve">Registration deadline (Thu May 7, 5pm ET) closes; Runway dev account not provisioned in time.</t>
  </si>
  <si>
    <t xml:space="preserve">Sign up at dev.runwayml.com TODAY. Confirm registration confirmation email arrives within 24 hours.</t>
  </si>
  <si>
    <t xml:space="preserve">Characters / Act-Two API instability — both shipped &lt;90 days ago.</t>
  </si>
  <si>
    <t xml:space="preserve">Gen-4.5 fallback path for any shot type. Characters becomes a wow-feature, not critical-path.</t>
  </si>
  <si>
    <t xml:space="preserve">Content moderation cascades to account suspension.</t>
  </si>
  <si>
    <t xml:space="preserve">Pre-filter inputs client-side. Avoid public figures and recognizable artists. Test friendly first.</t>
  </si>
  <si>
    <t xml:space="preserve">Credits depleted before submission.</t>
  </si>
  <si>
    <t xml:space="preserve">Real-time Supabase counter. Hard cap at 80% (160K) until Sunday afternoon. $50 reserve buy if needed.</t>
  </si>
  <si>
    <t xml:space="preserve">API Project must be publicly viewable/usable at submission.</t>
  </si>
  <si>
    <t xml:space="preserve">Deploy to public URL with anonymous access OR include guest credentials in README. Slack OAuth must work for fresh installs.</t>
  </si>
  <si>
    <t xml:space="preserve">Cannot edit submission after submit (Rule 6).</t>
  </si>
  <si>
    <t xml:space="preserve">Submit at LATEST safe moment Monday morning after final 90-min smoke test. Kill-switch if public URL broken.</t>
  </si>
  <si>
    <t xml:space="preserve">LinkedIn URL on registration form points to wrong profile.</t>
  </si>
  <si>
    <t xml:space="preserve">Already filled with linkedin.com/in/rogergrubb-sf/. Confirm before clicking Register.</t>
  </si>
  <si>
    <t xml:space="preserve">Slack OAuth approval delays prod readiness.</t>
  </si>
  <si>
    <t xml:space="preserve">Use Slack workspace we control for the demo. Showcase OAuth in demo video frame, not live.</t>
  </si>
  <si>
    <t xml:space="preserve">Multiple teams build the same pattern.</t>
  </si>
  <si>
    <t xml:space="preserve">Differentiate via Characters narrator + Act-Two performance + LLM-as-judge regen loop.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</si>
</sst>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A"/>
        <bgColor rgb="FF003366"/>
      </patternFill>
    </fill>
    <fill>
      <patternFill patternType="solid">
        <fgColor rgb="FFF2EEE8"/>
        <bgColor rgb="FFFFFFFF"/>
      </patternFill>
    </fill>
    <fill>
      <patternFill patternType="solid">
        <fgColor rgb="FFD4ECD8"/>
        <bgColor rgb="FFF2EEE8"/>
      </patternFill>
    </fill>
    <fill>
      <patternFill patternType="solid">
        <fgColor rgb="FFC45A2E"/>
        <bgColor rgb="FF993300"/>
      </patternFill>
    </fill>
    <fill>
      <patternFill patternType="solid">
        <fgColor rgb="FFF4D5CF"/>
        <bgColor rgb="FFFBE2C0"/>
      </patternFill>
    </fill>
    <fill>
      <patternFill patternType="solid">
        <fgColor rgb="FFFBE2C0"/>
        <bgColor rgb="FFF4D5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EE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CD8"/>
      <rgbColor rgb="FFFBE2C0"/>
      <rgbColor rgb="FF99CCFF"/>
      <rgbColor rgb="FFFF99CC"/>
      <rgbColor rgb="FFCC99FF"/>
      <rgbColor rgb="FFF4D5CF"/>
      <rgbColor rgb="FF3366FF"/>
      <rgbColor rgb="FF33CCCC"/>
      <rgbColor rgb="FF99CC00"/>
      <rgbColor rgb="FFFFCC00"/>
      <rgbColor rgb="FFFF9900"/>
      <rgbColor rgb="FFC45A2E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50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32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60" hidden="false" customHeight="tru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60" hidden="false" customHeight="tru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60" hidden="false" customHeight="tru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 customFormat="false" ht="60" hidden="false" customHeight="true" outlineLevel="0" collapsed="false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</row>
    <row r="6" customFormat="false" ht="60" hidden="false" customHeight="true" outlineLevel="0" collapsed="false">
      <c r="A6" s="2" t="s">
        <v>40</v>
      </c>
      <c r="B6" s="2" t="s">
        <v>17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</row>
    <row r="7" customFormat="false" ht="60" hidden="false" customHeight="true" outlineLevel="0" collapsed="false">
      <c r="A7" s="2" t="s">
        <v>40</v>
      </c>
      <c r="B7" s="2" t="s">
        <v>17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46</v>
      </c>
    </row>
    <row r="8" customFormat="false" ht="60" hidden="false" customHeight="true" outlineLevel="0" collapsed="false">
      <c r="A8" s="2" t="s">
        <v>40</v>
      </c>
      <c r="B8" s="2" t="s">
        <v>17</v>
      </c>
      <c r="C8" s="2" t="s">
        <v>52</v>
      </c>
      <c r="D8" s="2" t="s">
        <v>48</v>
      </c>
      <c r="E8" s="2" t="s">
        <v>53</v>
      </c>
      <c r="F8" s="2" t="s">
        <v>54</v>
      </c>
      <c r="G8" s="2" t="s">
        <v>55</v>
      </c>
      <c r="H8" s="2" t="s">
        <v>46</v>
      </c>
    </row>
    <row r="9" customFormat="false" ht="60" hidden="false" customHeight="true" outlineLevel="0" collapsed="false">
      <c r="A9" s="2" t="s">
        <v>56</v>
      </c>
      <c r="B9" s="2" t="s">
        <v>17</v>
      </c>
      <c r="C9" s="2" t="s">
        <v>57</v>
      </c>
      <c r="D9" s="2" t="s">
        <v>48</v>
      </c>
      <c r="E9" s="2" t="s">
        <v>58</v>
      </c>
      <c r="F9" s="2" t="s">
        <v>59</v>
      </c>
      <c r="G9" s="2" t="s">
        <v>60</v>
      </c>
      <c r="H9" s="2" t="s">
        <v>61</v>
      </c>
    </row>
    <row r="10" customFormat="false" ht="60" hidden="false" customHeight="true" outlineLevel="0" collapsed="false">
      <c r="A10" s="2" t="s">
        <v>62</v>
      </c>
      <c r="B10" s="2" t="s">
        <v>63</v>
      </c>
      <c r="C10" s="2" t="s">
        <v>64</v>
      </c>
      <c r="D10" s="2" t="s">
        <v>48</v>
      </c>
      <c r="E10" s="2" t="s">
        <v>65</v>
      </c>
      <c r="F10" s="2" t="s">
        <v>66</v>
      </c>
      <c r="G10" s="2" t="s">
        <v>67</v>
      </c>
      <c r="H10" s="2" t="s">
        <v>68</v>
      </c>
    </row>
    <row r="11" customFormat="false" ht="60" hidden="false" customHeight="true" outlineLevel="0" collapsed="false">
      <c r="A11" s="2" t="s">
        <v>69</v>
      </c>
      <c r="B11" s="2" t="s">
        <v>17</v>
      </c>
      <c r="C11" s="2" t="s">
        <v>70</v>
      </c>
      <c r="D11" s="2" t="s">
        <v>71</v>
      </c>
      <c r="E11" s="2" t="s">
        <v>72</v>
      </c>
      <c r="F11" s="2" t="s">
        <v>73</v>
      </c>
      <c r="G11" s="2" t="s">
        <v>74</v>
      </c>
      <c r="H11" s="2" t="s">
        <v>75</v>
      </c>
    </row>
    <row r="12" customFormat="false" ht="60" hidden="false" customHeight="true" outlineLevel="0" collapsed="false">
      <c r="A12" s="2" t="s">
        <v>76</v>
      </c>
      <c r="B12" s="2" t="s">
        <v>77</v>
      </c>
      <c r="C12" s="2" t="s">
        <v>78</v>
      </c>
      <c r="D12" s="2" t="s">
        <v>71</v>
      </c>
      <c r="E12" s="2" t="s">
        <v>79</v>
      </c>
      <c r="F12" s="2" t="s">
        <v>80</v>
      </c>
      <c r="G12" s="2" t="s">
        <v>81</v>
      </c>
      <c r="H12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36" hidden="false" customHeight="true" outlineLevel="0" collapsed="false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</row>
    <row r="2" customFormat="false" ht="39.75" hidden="false" customHeight="true" outlineLevel="0" collapsed="false">
      <c r="A2" s="2" t="s">
        <v>90</v>
      </c>
      <c r="B2" s="2" t="s">
        <v>91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</row>
    <row r="3" customFormat="false" ht="39.75" hidden="false" customHeight="true" outlineLevel="0" collapsed="false">
      <c r="A3" s="2" t="s">
        <v>97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</row>
    <row r="4" customFormat="false" ht="39.75" hidden="false" customHeight="true" outlineLevel="0" collapsed="false">
      <c r="A4" s="2" t="s">
        <v>104</v>
      </c>
      <c r="B4" s="2" t="s">
        <v>105</v>
      </c>
      <c r="C4" s="2" t="s">
        <v>99</v>
      </c>
      <c r="D4" s="2" t="s">
        <v>106</v>
      </c>
      <c r="E4" s="2" t="s">
        <v>107</v>
      </c>
      <c r="F4" s="2" t="s">
        <v>108</v>
      </c>
      <c r="G4" s="2" t="s">
        <v>109</v>
      </c>
    </row>
    <row r="5" customFormat="false" ht="39.75" hidden="false" customHeight="true" outlineLevel="0" collapsed="false">
      <c r="A5" s="2" t="s">
        <v>110</v>
      </c>
      <c r="B5" s="2" t="s">
        <v>17</v>
      </c>
      <c r="C5" s="2" t="s">
        <v>111</v>
      </c>
      <c r="D5" s="2" t="s">
        <v>112</v>
      </c>
      <c r="E5" s="2" t="s">
        <v>113</v>
      </c>
      <c r="F5" s="2" t="s">
        <v>114</v>
      </c>
      <c r="G5" s="2" t="s">
        <v>115</v>
      </c>
    </row>
    <row r="6" customFormat="false" ht="39.75" hidden="false" customHeight="true" outlineLevel="0" collapsed="false">
      <c r="A6" s="2" t="s">
        <v>116</v>
      </c>
      <c r="B6" s="2" t="s">
        <v>17</v>
      </c>
      <c r="C6" s="2" t="s">
        <v>117</v>
      </c>
      <c r="D6" s="2" t="s">
        <v>106</v>
      </c>
      <c r="E6" s="2" t="s">
        <v>118</v>
      </c>
      <c r="F6" s="2" t="s">
        <v>114</v>
      </c>
      <c r="G6" s="2" t="s">
        <v>119</v>
      </c>
    </row>
    <row r="7" customFormat="false" ht="39.75" hidden="false" customHeight="true" outlineLevel="0" collapsed="false">
      <c r="A7" s="2" t="s">
        <v>120</v>
      </c>
      <c r="B7" s="2" t="s">
        <v>121</v>
      </c>
      <c r="C7" s="2" t="s">
        <v>122</v>
      </c>
      <c r="D7" s="2" t="s">
        <v>106</v>
      </c>
      <c r="E7" s="2" t="s">
        <v>123</v>
      </c>
      <c r="F7" s="2" t="s">
        <v>114</v>
      </c>
      <c r="G7" s="2" t="s">
        <v>124</v>
      </c>
    </row>
    <row r="8" customFormat="false" ht="39.75" hidden="false" customHeight="true" outlineLevel="0" collapsed="false">
      <c r="A8" s="2" t="s">
        <v>125</v>
      </c>
      <c r="B8" s="2" t="s">
        <v>121</v>
      </c>
      <c r="C8" s="2" t="s">
        <v>126</v>
      </c>
      <c r="D8" s="2" t="s">
        <v>106</v>
      </c>
      <c r="E8" s="2" t="s">
        <v>127</v>
      </c>
      <c r="F8" s="2" t="s">
        <v>114</v>
      </c>
      <c r="G8" s="2" t="s">
        <v>128</v>
      </c>
    </row>
    <row r="9" customFormat="false" ht="39.75" hidden="false" customHeight="true" outlineLevel="0" collapsed="false">
      <c r="A9" s="2" t="s">
        <v>129</v>
      </c>
      <c r="B9" s="2" t="s">
        <v>17</v>
      </c>
      <c r="C9" s="2" t="s">
        <v>130</v>
      </c>
      <c r="D9" s="2" t="s">
        <v>131</v>
      </c>
      <c r="E9" s="2" t="s">
        <v>132</v>
      </c>
      <c r="F9" s="2" t="s">
        <v>133</v>
      </c>
      <c r="G9" s="2" t="s">
        <v>134</v>
      </c>
    </row>
    <row r="10" customFormat="false" ht="39.75" hidden="false" customHeight="true" outlineLevel="0" collapsed="false">
      <c r="A10" s="2" t="s">
        <v>135</v>
      </c>
      <c r="B10" s="2" t="s">
        <v>136</v>
      </c>
      <c r="C10" s="2" t="s">
        <v>137</v>
      </c>
      <c r="D10" s="2" t="s">
        <v>138</v>
      </c>
      <c r="E10" s="2" t="s">
        <v>139</v>
      </c>
      <c r="F10" s="2" t="s">
        <v>140</v>
      </c>
      <c r="G10" s="2" t="s">
        <v>141</v>
      </c>
    </row>
    <row r="11" customFormat="false" ht="39.75" hidden="false" customHeight="true" outlineLevel="0" collapsed="false">
      <c r="A11" s="2" t="s">
        <v>142</v>
      </c>
      <c r="B11" s="2" t="s">
        <v>143</v>
      </c>
      <c r="C11" s="2" t="s">
        <v>144</v>
      </c>
      <c r="D11" s="2" t="s">
        <v>136</v>
      </c>
      <c r="E11" s="2" t="s">
        <v>145</v>
      </c>
      <c r="F11" s="2" t="s">
        <v>146</v>
      </c>
      <c r="G11" s="2" t="s">
        <v>147</v>
      </c>
    </row>
    <row r="12" customFormat="false" ht="39.75" hidden="false" customHeight="true" outlineLevel="0" collapsed="false">
      <c r="A12" s="2" t="s">
        <v>148</v>
      </c>
      <c r="B12" s="2" t="s">
        <v>136</v>
      </c>
      <c r="C12" s="2" t="s">
        <v>149</v>
      </c>
      <c r="D12" s="2" t="s">
        <v>106</v>
      </c>
      <c r="E12" s="2" t="s">
        <v>150</v>
      </c>
      <c r="F12" s="2" t="s">
        <v>140</v>
      </c>
      <c r="G12" s="2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0"/>
  </cols>
  <sheetData>
    <row r="1" customFormat="false" ht="39.75" hidden="false" customHeight="true" outlineLevel="0" collapsed="false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customFormat="false" ht="31.5" hidden="false" customHeight="true" outlineLevel="0" collapsed="false">
      <c r="A2" s="3" t="s">
        <v>161</v>
      </c>
      <c r="B2" s="4" t="n">
        <v>5</v>
      </c>
      <c r="C2" s="4" t="n">
        <v>5</v>
      </c>
      <c r="D2" s="4" t="n">
        <v>5</v>
      </c>
      <c r="E2" s="4" t="n">
        <v>4</v>
      </c>
      <c r="F2" s="3" t="n">
        <f aca="false">SUM(B2:E2)</f>
        <v>19</v>
      </c>
      <c r="G2" s="4" t="n">
        <v>5</v>
      </c>
      <c r="H2" s="3" t="n">
        <f aca="false">F2+G2</f>
        <v>24</v>
      </c>
      <c r="I2" s="4" t="s">
        <v>162</v>
      </c>
    </row>
    <row r="3" customFormat="false" ht="31.5" hidden="false" customHeight="true" outlineLevel="0" collapsed="false">
      <c r="A3" s="2" t="s">
        <v>163</v>
      </c>
      <c r="B3" s="2" t="n">
        <v>5</v>
      </c>
      <c r="C3" s="2" t="n">
        <v>5</v>
      </c>
      <c r="D3" s="2" t="n">
        <v>4</v>
      </c>
      <c r="E3" s="2" t="n">
        <v>3</v>
      </c>
      <c r="F3" s="5" t="n">
        <f aca="false">SUM(B3:E3)</f>
        <v>17</v>
      </c>
      <c r="G3" s="2" t="n">
        <v>3</v>
      </c>
      <c r="H3" s="5" t="n">
        <f aca="false">F3+G3</f>
        <v>20</v>
      </c>
      <c r="I3" s="2" t="s">
        <v>164</v>
      </c>
    </row>
    <row r="4" customFormat="false" ht="31.5" hidden="false" customHeight="true" outlineLevel="0" collapsed="false">
      <c r="A4" s="2" t="s">
        <v>165</v>
      </c>
      <c r="B4" s="2" t="n">
        <v>4</v>
      </c>
      <c r="C4" s="2" t="n">
        <v>5</v>
      </c>
      <c r="D4" s="2" t="n">
        <v>4</v>
      </c>
      <c r="E4" s="2" t="n">
        <v>3</v>
      </c>
      <c r="F4" s="5" t="n">
        <f aca="false">SUM(B4:E4)</f>
        <v>16</v>
      </c>
      <c r="G4" s="2" t="n">
        <v>3</v>
      </c>
      <c r="H4" s="5" t="n">
        <f aca="false">F4+G4</f>
        <v>19</v>
      </c>
      <c r="I4" s="2" t="s">
        <v>166</v>
      </c>
    </row>
    <row r="5" customFormat="false" ht="31.5" hidden="false" customHeight="true" outlineLevel="0" collapsed="false">
      <c r="A5" s="2" t="s">
        <v>167</v>
      </c>
      <c r="B5" s="2" t="n">
        <v>4</v>
      </c>
      <c r="C5" s="2" t="n">
        <v>4</v>
      </c>
      <c r="D5" s="2" t="n">
        <v>4</v>
      </c>
      <c r="E5" s="2" t="n">
        <v>3</v>
      </c>
      <c r="F5" s="5" t="n">
        <f aca="false">SUM(B5:E5)</f>
        <v>15</v>
      </c>
      <c r="G5" s="2" t="n">
        <v>3</v>
      </c>
      <c r="H5" s="5" t="n">
        <f aca="false">F5+G5</f>
        <v>18</v>
      </c>
      <c r="I5" s="2" t="s">
        <v>168</v>
      </c>
    </row>
    <row r="6" customFormat="false" ht="31.5" hidden="false" customHeight="true" outlineLevel="0" collapsed="false">
      <c r="A6" s="2" t="s">
        <v>169</v>
      </c>
      <c r="B6" s="2" t="n">
        <v>3</v>
      </c>
      <c r="C6" s="2" t="n">
        <v>5</v>
      </c>
      <c r="D6" s="2" t="n">
        <v>4</v>
      </c>
      <c r="E6" s="2" t="n">
        <v>2</v>
      </c>
      <c r="F6" s="5" t="n">
        <f aca="false">SUM(B6:E6)</f>
        <v>14</v>
      </c>
      <c r="G6" s="2" t="n">
        <v>2</v>
      </c>
      <c r="H6" s="5" t="n">
        <f aca="false">F6+G6</f>
        <v>16</v>
      </c>
      <c r="I6" s="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60"/>
  </cols>
  <sheetData>
    <row r="1" customFormat="false" ht="31.5" hidden="false" customHeight="true" outlineLevel="0" collapsed="false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160</v>
      </c>
    </row>
    <row r="2" customFormat="false" ht="30" hidden="false" customHeight="true" outlineLevel="0" collapsed="false">
      <c r="A2" s="2" t="s">
        <v>175</v>
      </c>
      <c r="B2" s="2" t="n">
        <v>20000</v>
      </c>
      <c r="C2" s="6" t="n">
        <f aca="false">B2/$B$7</f>
        <v>0.1</v>
      </c>
      <c r="D2" s="7" t="n">
        <f aca="false">B2*0.01</f>
        <v>200</v>
      </c>
      <c r="E2" s="2" t="s">
        <v>176</v>
      </c>
    </row>
    <row r="3" customFormat="false" ht="30" hidden="false" customHeight="true" outlineLevel="0" collapsed="false">
      <c r="A3" s="2" t="s">
        <v>177</v>
      </c>
      <c r="B3" s="2" t="n">
        <v>80000</v>
      </c>
      <c r="C3" s="6" t="n">
        <f aca="false">B3/$B$7</f>
        <v>0.4</v>
      </c>
      <c r="D3" s="7" t="n">
        <f aca="false">B3*0.01</f>
        <v>800</v>
      </c>
      <c r="E3" s="2" t="s">
        <v>178</v>
      </c>
    </row>
    <row r="4" customFormat="false" ht="30" hidden="false" customHeight="true" outlineLevel="0" collapsed="false">
      <c r="A4" s="2" t="s">
        <v>179</v>
      </c>
      <c r="B4" s="2" t="n">
        <v>40000</v>
      </c>
      <c r="C4" s="6" t="n">
        <f aca="false">B4/$B$7</f>
        <v>0.2</v>
      </c>
      <c r="D4" s="7" t="n">
        <f aca="false">B4*0.01</f>
        <v>400</v>
      </c>
      <c r="E4" s="2" t="s">
        <v>180</v>
      </c>
    </row>
    <row r="5" customFormat="false" ht="30" hidden="false" customHeight="true" outlineLevel="0" collapsed="false">
      <c r="A5" s="2" t="s">
        <v>181</v>
      </c>
      <c r="B5" s="2" t="n">
        <v>30000</v>
      </c>
      <c r="C5" s="6" t="n">
        <f aca="false">B5/$B$7</f>
        <v>0.15</v>
      </c>
      <c r="D5" s="7" t="n">
        <f aca="false">B5*0.01</f>
        <v>300</v>
      </c>
      <c r="E5" s="2" t="s">
        <v>182</v>
      </c>
    </row>
    <row r="6" customFormat="false" ht="30" hidden="false" customHeight="true" outlineLevel="0" collapsed="false">
      <c r="A6" s="2" t="s">
        <v>183</v>
      </c>
      <c r="B6" s="2" t="n">
        <v>30000</v>
      </c>
      <c r="C6" s="6" t="n">
        <f aca="false">B6/$B$7</f>
        <v>0.15</v>
      </c>
      <c r="D6" s="7" t="n">
        <f aca="false">B6*0.01</f>
        <v>300</v>
      </c>
      <c r="E6" s="2" t="s">
        <v>184</v>
      </c>
    </row>
    <row r="7" customFormat="false" ht="15" hidden="false" customHeight="false" outlineLevel="0" collapsed="false">
      <c r="A7" s="3" t="s">
        <v>185</v>
      </c>
      <c r="B7" s="3" t="n">
        <f aca="false">SUM(B2:B6)</f>
        <v>200000</v>
      </c>
      <c r="C7" s="8" t="n">
        <f aca="false">B7/B7</f>
        <v>1</v>
      </c>
      <c r="D7" s="9" t="n">
        <f aca="false">B7*0.01</f>
        <v>2000</v>
      </c>
      <c r="E7" s="4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6" min="5" style="0" width="14"/>
  </cols>
  <sheetData>
    <row r="1" customFormat="false" ht="31.5" hidden="false" customHeight="true" outlineLevel="0" collapsed="false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</row>
    <row r="2" customFormat="false" ht="49.5" hidden="false" customHeight="true" outlineLevel="0" collapsed="false">
      <c r="A2" s="2" t="s">
        <v>193</v>
      </c>
      <c r="B2" s="2" t="s">
        <v>194</v>
      </c>
      <c r="C2" s="2" t="s">
        <v>195</v>
      </c>
      <c r="D2" s="2" t="s">
        <v>196</v>
      </c>
      <c r="E2" s="2" t="s">
        <v>197</v>
      </c>
      <c r="F2" s="10" t="s">
        <v>198</v>
      </c>
    </row>
    <row r="3" customFormat="false" ht="49.5" hidden="false" customHeight="true" outlineLevel="0" collapsed="false">
      <c r="A3" s="2" t="s">
        <v>199</v>
      </c>
      <c r="B3" s="2" t="s">
        <v>200</v>
      </c>
      <c r="C3" s="2" t="s">
        <v>201</v>
      </c>
      <c r="D3" s="2" t="s">
        <v>202</v>
      </c>
      <c r="E3" s="2" t="s">
        <v>203</v>
      </c>
      <c r="F3" s="2" t="s">
        <v>204</v>
      </c>
    </row>
    <row r="4" customFormat="false" ht="49.5" hidden="false" customHeight="true" outlineLevel="0" collapsed="false">
      <c r="A4" s="2" t="s">
        <v>205</v>
      </c>
      <c r="B4" s="2" t="s">
        <v>206</v>
      </c>
      <c r="C4" s="2" t="s">
        <v>207</v>
      </c>
      <c r="D4" s="2" t="s">
        <v>208</v>
      </c>
      <c r="E4" s="2" t="s">
        <v>203</v>
      </c>
      <c r="F4" s="2" t="s">
        <v>204</v>
      </c>
    </row>
    <row r="5" customFormat="false" ht="49.5" hidden="false" customHeight="true" outlineLevel="0" collapsed="false">
      <c r="A5" s="2" t="s">
        <v>209</v>
      </c>
      <c r="B5" s="2" t="s">
        <v>210</v>
      </c>
      <c r="C5" s="2" t="s">
        <v>211</v>
      </c>
      <c r="D5" s="2" t="s">
        <v>212</v>
      </c>
      <c r="E5" s="2" t="s">
        <v>213</v>
      </c>
      <c r="F5" s="2" t="s">
        <v>204</v>
      </c>
    </row>
    <row r="6" customFormat="false" ht="49.5" hidden="false" customHeight="true" outlineLevel="0" collapsed="false">
      <c r="A6" s="2" t="s">
        <v>214</v>
      </c>
      <c r="B6" s="2" t="s">
        <v>215</v>
      </c>
      <c r="C6" s="2" t="s">
        <v>216</v>
      </c>
      <c r="D6" s="2" t="s">
        <v>217</v>
      </c>
      <c r="E6" s="2" t="s">
        <v>213</v>
      </c>
      <c r="F6" s="2" t="s">
        <v>204</v>
      </c>
    </row>
    <row r="7" customFormat="false" ht="49.5" hidden="false" customHeight="true" outlineLevel="0" collapsed="false">
      <c r="A7" s="2" t="s">
        <v>218</v>
      </c>
      <c r="B7" s="2" t="s">
        <v>219</v>
      </c>
      <c r="C7" s="2" t="s">
        <v>220</v>
      </c>
      <c r="D7" s="2" t="s">
        <v>221</v>
      </c>
      <c r="E7" s="2" t="s">
        <v>213</v>
      </c>
      <c r="F7" s="2" t="s">
        <v>204</v>
      </c>
    </row>
    <row r="8" customFormat="false" ht="49.5" hidden="false" customHeight="true" outlineLevel="0" collapsed="false">
      <c r="A8" s="11" t="s">
        <v>222</v>
      </c>
      <c r="B8" s="11" t="s">
        <v>223</v>
      </c>
      <c r="C8" s="11" t="s">
        <v>224</v>
      </c>
      <c r="D8" s="11" t="s">
        <v>225</v>
      </c>
      <c r="E8" s="11" t="s">
        <v>226</v>
      </c>
      <c r="F8" s="11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4"/>
    <col collapsed="false" customWidth="true" hidden="false" outlineLevel="0" max="5" min="5" style="0" width="70"/>
  </cols>
  <sheetData>
    <row r="1" customFormat="false" ht="31.5" hidden="false" customHeight="true" outlineLevel="0" collapsed="false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</row>
    <row r="2" customFormat="false" ht="37.5" hidden="false" customHeight="true" outlineLevel="0" collapsed="false">
      <c r="A2" s="2" t="s">
        <v>232</v>
      </c>
      <c r="B2" s="2" t="n">
        <v>5</v>
      </c>
      <c r="C2" s="2" t="n">
        <v>4</v>
      </c>
      <c r="D2" s="12" t="n">
        <f aca="false">B2*C2</f>
        <v>20</v>
      </c>
      <c r="E2" s="2" t="s">
        <v>233</v>
      </c>
    </row>
    <row r="3" customFormat="false" ht="37.5" hidden="false" customHeight="true" outlineLevel="0" collapsed="false">
      <c r="A3" s="2" t="s">
        <v>234</v>
      </c>
      <c r="B3" s="2" t="n">
        <v>5</v>
      </c>
      <c r="C3" s="2" t="n">
        <v>4</v>
      </c>
      <c r="D3" s="12" t="n">
        <f aca="false">B3*C3</f>
        <v>20</v>
      </c>
      <c r="E3" s="2" t="s">
        <v>235</v>
      </c>
    </row>
    <row r="4" customFormat="false" ht="37.5" hidden="false" customHeight="true" outlineLevel="0" collapsed="false">
      <c r="A4" s="2" t="s">
        <v>236</v>
      </c>
      <c r="B4" s="2" t="n">
        <v>5</v>
      </c>
      <c r="C4" s="2" t="n">
        <v>3</v>
      </c>
      <c r="D4" s="12" t="n">
        <f aca="false">B4*C4</f>
        <v>15</v>
      </c>
      <c r="E4" s="2" t="s">
        <v>237</v>
      </c>
    </row>
    <row r="5" customFormat="false" ht="37.5" hidden="false" customHeight="true" outlineLevel="0" collapsed="false">
      <c r="A5" s="2" t="s">
        <v>238</v>
      </c>
      <c r="B5" s="2" t="n">
        <v>4</v>
      </c>
      <c r="C5" s="2" t="n">
        <v>3</v>
      </c>
      <c r="D5" s="13" t="n">
        <f aca="false">B5*C5</f>
        <v>12</v>
      </c>
      <c r="E5" s="2" t="s">
        <v>239</v>
      </c>
    </row>
    <row r="6" customFormat="false" ht="37.5" hidden="false" customHeight="true" outlineLevel="0" collapsed="false">
      <c r="A6" s="2" t="s">
        <v>240</v>
      </c>
      <c r="B6" s="2" t="n">
        <v>5</v>
      </c>
      <c r="C6" s="2" t="n">
        <v>2</v>
      </c>
      <c r="D6" s="13" t="n">
        <f aca="false">B6*C6</f>
        <v>10</v>
      </c>
      <c r="E6" s="2" t="s">
        <v>241</v>
      </c>
    </row>
    <row r="7" customFormat="false" ht="37.5" hidden="false" customHeight="true" outlineLevel="0" collapsed="false">
      <c r="A7" s="2" t="s">
        <v>242</v>
      </c>
      <c r="B7" s="2" t="n">
        <v>4</v>
      </c>
      <c r="C7" s="2" t="n">
        <v>3</v>
      </c>
      <c r="D7" s="13" t="n">
        <f aca="false">B7*C7</f>
        <v>12</v>
      </c>
      <c r="E7" s="2" t="s">
        <v>243</v>
      </c>
    </row>
    <row r="8" customFormat="false" ht="37.5" hidden="false" customHeight="true" outlineLevel="0" collapsed="false">
      <c r="A8" s="2" t="s">
        <v>244</v>
      </c>
      <c r="B8" s="2" t="n">
        <v>3</v>
      </c>
      <c r="C8" s="2" t="n">
        <v>3</v>
      </c>
      <c r="D8" s="13" t="n">
        <f aca="false">B8*C8</f>
        <v>9</v>
      </c>
      <c r="E8" s="2" t="s">
        <v>245</v>
      </c>
    </row>
    <row r="9" customFormat="false" ht="37.5" hidden="false" customHeight="true" outlineLevel="0" collapsed="false">
      <c r="A9" s="2" t="s">
        <v>246</v>
      </c>
      <c r="B9" s="2" t="n">
        <v>4</v>
      </c>
      <c r="C9" s="2" t="n">
        <v>2</v>
      </c>
      <c r="D9" s="14" t="n">
        <f aca="false">B9*C9</f>
        <v>8</v>
      </c>
      <c r="E9" s="2" t="s">
        <v>247</v>
      </c>
    </row>
    <row r="10" customFormat="false" ht="37.5" hidden="false" customHeight="true" outlineLevel="0" collapsed="false">
      <c r="A10" s="2" t="s">
        <v>248</v>
      </c>
      <c r="B10" s="2" t="n">
        <v>2</v>
      </c>
      <c r="C10" s="2" t="n">
        <v>1</v>
      </c>
      <c r="D10" s="14" t="n">
        <f aca="false">B10*C10</f>
        <v>2</v>
      </c>
      <c r="E10" s="2" t="s">
        <v>249</v>
      </c>
    </row>
    <row r="11" customFormat="false" ht="37.5" hidden="false" customHeight="true" outlineLevel="0" collapsed="false">
      <c r="A11" s="2" t="s">
        <v>250</v>
      </c>
      <c r="B11" s="2" t="n">
        <v>3</v>
      </c>
      <c r="C11" s="2" t="n">
        <v>3</v>
      </c>
      <c r="D11" s="13" t="n">
        <f aca="false">B11*C11</f>
        <v>9</v>
      </c>
      <c r="E11" s="2" t="s">
        <v>251</v>
      </c>
    </row>
    <row r="12" customFormat="false" ht="37.5" hidden="false" customHeight="true" outlineLevel="0" collapsed="false">
      <c r="A12" s="2" t="s">
        <v>252</v>
      </c>
      <c r="B12" s="2" t="n">
        <v>3</v>
      </c>
      <c r="C12" s="2" t="n">
        <v>4</v>
      </c>
      <c r="D12" s="13" t="n">
        <f aca="false">B12*C12</f>
        <v>12</v>
      </c>
      <c r="E12" s="2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2026-05-06T03:31:32Z</dcterms:created>
  <dc:creator>openpyxl</dc:creator>
  <dc:description/>
  <dc:language>en-US</dc:language>
  <cp:lastModifiedBy/>
  <dcterms:modified xsi:type="dcterms:W3CDTF">2026-05-06T03:31:32Z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